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<sst xmlns="http://schemas.openxmlformats.org/spreadsheetml/2006/main" count="33" uniqueCount="33">
  <si>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Character Swap</t>
  </si>
  <si>
    <t xml:space="preserve">Missing Character</t>
  </si>
  <si>
    <t xml:space="preserve">Extra Character</t>
  </si>
  <si>
    <t xml:space="preserve">Nearby Character</t>
  </si>
  <si>
    <t xml:space="preserve">Skipped Space</t>
  </si>
  <si>
    <t xml:space="preserve">Random Space</t>
  </si>
  <si>
    <t xml:space="preserve">Repeated Character</t>
  </si>
  <si>
    <t>Unicharacter</t>
  </si>
  <si>
    <t xml:space="preserve">Total </t>
  </si>
  <si>
    <t xml:space="preserve">Total w/o SRE</t>
  </si>
  <si>
    <t>S</t>
  </si>
  <si>
    <t>P</t>
  </si>
  <si>
    <t>F</t>
  </si>
  <si>
    <t>T</t>
  </si>
  <si>
    <t>E</t>
  </si>
  <si>
    <t>Sk</t>
  </si>
  <si>
    <t>Sum</t>
  </si>
  <si>
    <t>Mean</t>
  </si>
  <si>
    <t>Median</t>
  </si>
  <si>
    <t>Stdev</t>
  </si>
  <si>
    <t>Percentage</t>
  </si>
  <si>
    <t>Total</t>
  </si>
  <si>
    <t>Stdev%</t>
  </si>
  <si>
    <t xml:space="preserve">Stdev% w/o SRE</t>
  </si>
  <si>
    <t>Legend</t>
  </si>
  <si>
    <t>Successes</t>
  </si>
  <si>
    <t xml:space="preserve">Partial Successes</t>
  </si>
  <si>
    <t>Failures</t>
  </si>
  <si>
    <t>Totals</t>
  </si>
  <si>
    <t>Errors</t>
  </si>
  <si>
    <t>Skips</t>
  </si>
  <si>
    <t>SRE</t>
  </si>
  <si>
    <t xml:space="preserve">Space-related Errors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</si>
</sst>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CC8FDB"/>
        <bgColor rgb="FFCC8FDB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7ACAC"/>
        <bgColor rgb="FFF7ACAC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 applyAlignment="1">
      <alignment horizontal="left"/>
    </xf>
    <xf fontId="0" fillId="3" borderId="0" numFmtId="0" xfId="0" applyFill="1" applyAlignment="1">
      <alignment horizontal="left"/>
    </xf>
    <xf fontId="0" fillId="4" borderId="0" numFmtId="0" xfId="0" applyFill="1" applyAlignment="1">
      <alignment horizontal="left"/>
    </xf>
    <xf fontId="0" fillId="5" borderId="0" numFmtId="0" xfId="0" applyFill="1" applyAlignment="1">
      <alignment horizontal="left"/>
    </xf>
    <xf fontId="0" fillId="6" borderId="0" numFmtId="0" xfId="0" applyFill="1"/>
    <xf fontId="0" fillId="2" borderId="0" numFmtId="0" xfId="0" applyFill="1"/>
    <xf fontId="0" fillId="3" borderId="0" numFmtId="0" xfId="0" applyFill="1"/>
    <xf fontId="0" fillId="4" borderId="0" numFmtId="0" xfId="0" applyFill="1"/>
    <xf fontId="0" fillId="6" borderId="0" numFmtId="0" xfId="0" applyFill="1" applyAlignment="1">
      <alignment horizontal="left"/>
    </xf>
    <xf fontId="0" fillId="5" borderId="0" numFmtId="0" xfId="0" applyFill="1"/>
    <xf fontId="0" fillId="2" borderId="0" numFmtId="9" xfId="0" applyNumberFormat="1" applyFill="1" applyAlignment="1">
      <alignment horizontal="left"/>
    </xf>
    <xf fontId="0" fillId="3" borderId="0" numFmtId="9" xfId="0" applyNumberFormat="1" applyFill="1" applyAlignment="1">
      <alignment horizontal="left"/>
    </xf>
    <xf fontId="0" fillId="4" borderId="0" numFmtId="9" xfId="0" applyNumberFormat="1" applyFill="1" applyAlignment="1">
      <alignment horizontal="left"/>
    </xf>
    <xf fontId="0" fillId="0" borderId="0" numFmtId="9" xfId="0" applyNumberFormat="1" applyAlignment="1">
      <alignment horizontal="left"/>
    </xf>
    <xf fontId="0" fillId="5" borderId="0" numFmtId="9" xfId="0" applyNumberFormat="1" applyFill="1" applyAlignment="1">
      <alignment horizontal="left"/>
    </xf>
    <xf fontId="0" fillId="6" borderId="0" numFmtId="9" xfId="0" applyNumberFormat="1" applyFill="1" applyAlignment="1">
      <alignment horizontal="left"/>
    </xf>
    <xf fontId="0" fillId="2" borderId="0" numFmtId="9" xfId="0" applyNumberFormat="1" applyFill="1"/>
    <xf fontId="0" fillId="3" borderId="0" numFmtId="9" xfId="0" applyNumberFormat="1" applyFill="1"/>
    <xf fontId="0" fillId="4" borderId="0" numFmtId="9" xfId="0" applyNumberFormat="1" applyFill="1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100" workbookViewId="0">
      <selection activeCell="A1" activeCellId="0" sqref="A1"/>
    </sheetView>
  </sheetViews>
  <sheetFormatPr defaultRowHeight="14.25"/>
  <cols>
    <col customWidth="1" min="1" max="1" style="1" width="11.140625"/>
    <col customWidth="1" min="2" max="37" style="1" width="5.7109375"/>
    <col customWidth="1" min="38" max="43" width="5.7109375"/>
  </cols>
  <sheetData>
    <row r="6" ht="14.25">
      <c r="B6" s="2" t="s">
        <v>0</v>
      </c>
      <c r="C6" s="2"/>
      <c r="D6" s="2"/>
      <c r="E6" s="2"/>
      <c r="F6" s="2" t="s">
        <v>1</v>
      </c>
      <c r="G6" s="2"/>
      <c r="H6" s="2"/>
      <c r="I6" s="2"/>
      <c r="J6" s="2" t="s">
        <v>2</v>
      </c>
      <c r="K6" s="2"/>
      <c r="L6" s="2"/>
      <c r="M6" s="2"/>
      <c r="N6" s="2" t="s">
        <v>3</v>
      </c>
      <c r="O6" s="2"/>
      <c r="P6" s="2"/>
      <c r="Q6" s="2"/>
      <c r="R6" s="2" t="s">
        <v>4</v>
      </c>
      <c r="S6" s="2"/>
      <c r="T6" s="2"/>
      <c r="U6" s="2"/>
      <c r="V6" s="2" t="s">
        <v>5</v>
      </c>
      <c r="W6" s="2"/>
      <c r="X6" s="2"/>
      <c r="Y6" s="2"/>
      <c r="Z6" s="2" t="s">
        <v>6</v>
      </c>
      <c r="AA6" s="2"/>
      <c r="AB6" s="2"/>
      <c r="AC6" s="2"/>
      <c r="AD6" s="2" t="s">
        <v>7</v>
      </c>
      <c r="AE6" s="2"/>
      <c r="AF6" s="2"/>
      <c r="AG6" s="2"/>
      <c r="AH6" s="2" t="s">
        <v>8</v>
      </c>
      <c r="AI6" s="2"/>
      <c r="AJ6" s="2"/>
      <c r="AK6" s="2"/>
      <c r="AL6" s="2"/>
      <c r="AM6" s="2"/>
      <c r="AN6" s="2" t="s">
        <v>9</v>
      </c>
      <c r="AO6" s="2"/>
      <c r="AP6" s="2"/>
      <c r="AQ6" s="2"/>
      <c r="AR6" s="3"/>
    </row>
    <row r="7" ht="14.25">
      <c r="A7" s="1"/>
      <c r="B7" s="4" t="s">
        <v>10</v>
      </c>
      <c r="C7" s="5" t="s">
        <v>11</v>
      </c>
      <c r="D7" s="6" t="s">
        <v>12</v>
      </c>
      <c r="E7" s="1" t="s">
        <v>13</v>
      </c>
      <c r="F7" s="4" t="s">
        <v>10</v>
      </c>
      <c r="G7" s="5" t="s">
        <v>11</v>
      </c>
      <c r="H7" s="6" t="s">
        <v>12</v>
      </c>
      <c r="I7" s="1" t="s">
        <v>13</v>
      </c>
      <c r="J7" s="4" t="s">
        <v>10</v>
      </c>
      <c r="K7" s="5" t="s">
        <v>11</v>
      </c>
      <c r="L7" s="6" t="s">
        <v>12</v>
      </c>
      <c r="M7" s="1" t="s">
        <v>13</v>
      </c>
      <c r="N7" s="4" t="s">
        <v>10</v>
      </c>
      <c r="O7" s="5" t="s">
        <v>11</v>
      </c>
      <c r="P7" s="6" t="s">
        <v>12</v>
      </c>
      <c r="Q7" s="1" t="s">
        <v>13</v>
      </c>
      <c r="R7" s="4" t="s">
        <v>10</v>
      </c>
      <c r="S7" s="5" t="s">
        <v>11</v>
      </c>
      <c r="T7" s="6" t="s">
        <v>12</v>
      </c>
      <c r="U7" s="1" t="s">
        <v>13</v>
      </c>
      <c r="V7" s="4" t="s">
        <v>10</v>
      </c>
      <c r="W7" s="5" t="s">
        <v>11</v>
      </c>
      <c r="X7" s="6" t="s">
        <v>12</v>
      </c>
      <c r="Y7" s="1" t="s">
        <v>13</v>
      </c>
      <c r="Z7" s="4" t="s">
        <v>10</v>
      </c>
      <c r="AA7" s="5" t="s">
        <v>11</v>
      </c>
      <c r="AB7" s="6" t="s">
        <v>12</v>
      </c>
      <c r="AC7" s="1" t="s">
        <v>13</v>
      </c>
      <c r="AD7" s="4" t="s">
        <v>10</v>
      </c>
      <c r="AE7" s="5" t="s">
        <v>11</v>
      </c>
      <c r="AF7" s="6" t="s">
        <v>12</v>
      </c>
      <c r="AG7" s="1" t="s">
        <v>13</v>
      </c>
      <c r="AH7" s="4" t="s">
        <v>10</v>
      </c>
      <c r="AI7" s="5" t="s">
        <v>11</v>
      </c>
      <c r="AJ7" s="6" t="s">
        <v>12</v>
      </c>
      <c r="AK7" s="1" t="s">
        <v>13</v>
      </c>
      <c r="AL7" s="7" t="s">
        <v>14</v>
      </c>
      <c r="AM7" s="8" t="s">
        <v>15</v>
      </c>
      <c r="AN7" s="9" t="s">
        <v>10</v>
      </c>
      <c r="AO7" s="10" t="s">
        <v>11</v>
      </c>
      <c r="AP7" s="11" t="s">
        <v>12</v>
      </c>
      <c r="AQ7" t="s">
        <v>13</v>
      </c>
    </row>
    <row r="8" ht="14.25">
      <c r="A8" s="1">
        <v>1</v>
      </c>
      <c r="B8" s="4">
        <v>28</v>
      </c>
      <c r="C8" s="5">
        <v>25</v>
      </c>
      <c r="D8" s="6">
        <f t="shared" ref="D8:D9" si="0">E8-B8-C8</f>
        <v>42</v>
      </c>
      <c r="E8" s="1">
        <v>95</v>
      </c>
      <c r="F8" s="4">
        <v>35</v>
      </c>
      <c r="G8" s="5">
        <v>23</v>
      </c>
      <c r="H8" s="6">
        <f t="shared" ref="H8:H9" si="1">I8-F8-G8</f>
        <v>42</v>
      </c>
      <c r="I8" s="1">
        <v>100</v>
      </c>
      <c r="J8" s="4">
        <v>49</v>
      </c>
      <c r="K8" s="5">
        <v>9</v>
      </c>
      <c r="L8" s="6">
        <f t="shared" ref="L8:L9" si="2">M8-J8-K8</f>
        <v>42</v>
      </c>
      <c r="M8" s="1">
        <v>100</v>
      </c>
      <c r="N8" s="4">
        <v>38</v>
      </c>
      <c r="O8" s="5">
        <v>15</v>
      </c>
      <c r="P8" s="6">
        <f t="shared" ref="P8:P9" si="3">Q8-N8-O8</f>
        <v>47</v>
      </c>
      <c r="Q8" s="1">
        <v>100</v>
      </c>
      <c r="R8" s="4">
        <v>0</v>
      </c>
      <c r="S8" s="5">
        <v>14</v>
      </c>
      <c r="T8" s="6">
        <f t="shared" ref="T8:T9" si="4">U8-R8-S8</f>
        <v>80</v>
      </c>
      <c r="U8" s="1">
        <v>94</v>
      </c>
      <c r="V8" s="4">
        <v>0</v>
      </c>
      <c r="W8" s="5">
        <v>35</v>
      </c>
      <c r="X8" s="6">
        <f t="shared" ref="X8:X9" si="5">Y8-V8-W8</f>
        <v>65</v>
      </c>
      <c r="Y8" s="1">
        <v>100</v>
      </c>
      <c r="Z8" s="4">
        <v>41</v>
      </c>
      <c r="AA8" s="5">
        <v>11</v>
      </c>
      <c r="AB8" s="6">
        <f t="shared" ref="AB8:AB9" si="6">AC8-Z8-AA8</f>
        <v>48</v>
      </c>
      <c r="AC8" s="1">
        <v>100</v>
      </c>
      <c r="AD8" s="4">
        <v>16</v>
      </c>
      <c r="AE8" s="5">
        <v>3</v>
      </c>
      <c r="AF8" s="6">
        <f t="shared" ref="AF8:AF9" si="7">AG8-AD8-AE8</f>
        <v>36</v>
      </c>
      <c r="AG8" s="1">
        <v>55</v>
      </c>
      <c r="AH8" s="4">
        <f t="shared" ref="AH8:AH9" si="8">B8+F8+J8+N8+R8+V8+Z8+AD8</f>
        <v>207</v>
      </c>
      <c r="AI8" s="5">
        <f t="shared" ref="AI8:AI9" si="9">C8+G8+K8+O8+S8+W8+AA8+AE8</f>
        <v>135</v>
      </c>
      <c r="AJ8" s="6">
        <f t="shared" ref="AJ8:AJ9" si="10">D8+H8+L8+P8+T8+X8+AB8+AF8</f>
        <v>402</v>
      </c>
      <c r="AK8" s="1">
        <f t="shared" ref="AK8:AK9" si="11">AH8+AI8+AJ8</f>
        <v>744</v>
      </c>
      <c r="AL8" s="7">
        <v>1</v>
      </c>
      <c r="AM8" s="12">
        <f t="shared" ref="AM8:AM9" si="12">800-AK8</f>
        <v>56</v>
      </c>
      <c r="AN8" s="9">
        <f t="shared" ref="AN8:AN9" si="13">B8+F8+J8+N8+Z8+AD8</f>
        <v>207</v>
      </c>
      <c r="AO8" s="10">
        <f t="shared" ref="AO8:AO9" si="14">C8+G8+K8+O8+AA8+AE8</f>
        <v>86</v>
      </c>
      <c r="AP8" s="11">
        <f t="shared" ref="AP8:AP9" si="15">D8+H8+L8+P8+AB8+AF8</f>
        <v>257</v>
      </c>
      <c r="AQ8">
        <f t="shared" ref="AQ8:AQ9" si="16">E8+I8+M8+Q8+AC8+AG8</f>
        <v>550</v>
      </c>
    </row>
    <row r="9" ht="14.25">
      <c r="A9" s="1">
        <v>2</v>
      </c>
      <c r="B9" s="4">
        <v>32</v>
      </c>
      <c r="C9" s="5">
        <v>18</v>
      </c>
      <c r="D9" s="6">
        <f t="shared" si="0"/>
        <v>48</v>
      </c>
      <c r="E9" s="1">
        <v>98</v>
      </c>
      <c r="F9" s="4">
        <v>27</v>
      </c>
      <c r="G9" s="5">
        <v>25</v>
      </c>
      <c r="H9" s="6">
        <f t="shared" si="1"/>
        <v>48</v>
      </c>
      <c r="I9" s="1">
        <v>100</v>
      </c>
      <c r="J9" s="4">
        <v>43</v>
      </c>
      <c r="K9" s="5">
        <v>15</v>
      </c>
      <c r="L9" s="6">
        <f t="shared" si="2"/>
        <v>42</v>
      </c>
      <c r="M9" s="1">
        <v>100</v>
      </c>
      <c r="N9" s="4">
        <v>41</v>
      </c>
      <c r="O9" s="5">
        <v>15</v>
      </c>
      <c r="P9" s="6">
        <f t="shared" si="3"/>
        <v>44</v>
      </c>
      <c r="Q9" s="1">
        <v>100</v>
      </c>
      <c r="R9" s="4">
        <v>0</v>
      </c>
      <c r="S9" s="5">
        <v>15</v>
      </c>
      <c r="T9" s="6">
        <f t="shared" si="4"/>
        <v>79</v>
      </c>
      <c r="U9" s="1">
        <v>94</v>
      </c>
      <c r="V9" s="4">
        <v>0</v>
      </c>
      <c r="W9" s="5">
        <v>30</v>
      </c>
      <c r="X9" s="6">
        <f t="shared" si="5"/>
        <v>70</v>
      </c>
      <c r="Y9" s="1">
        <v>100</v>
      </c>
      <c r="Z9" s="4">
        <v>41</v>
      </c>
      <c r="AA9" s="5">
        <v>11</v>
      </c>
      <c r="AB9" s="6">
        <f t="shared" si="6"/>
        <v>48</v>
      </c>
      <c r="AC9" s="1">
        <v>100</v>
      </c>
      <c r="AD9" s="4">
        <v>17</v>
      </c>
      <c r="AE9" s="5">
        <v>4</v>
      </c>
      <c r="AF9" s="6">
        <f t="shared" si="7"/>
        <v>34</v>
      </c>
      <c r="AG9" s="1">
        <v>55</v>
      </c>
      <c r="AH9" s="4">
        <f t="shared" si="8"/>
        <v>201</v>
      </c>
      <c r="AI9" s="5">
        <f t="shared" si="9"/>
        <v>133</v>
      </c>
      <c r="AJ9" s="6">
        <f t="shared" si="10"/>
        <v>413</v>
      </c>
      <c r="AK9" s="1">
        <f t="shared" si="11"/>
        <v>747</v>
      </c>
      <c r="AL9" s="7">
        <v>0</v>
      </c>
      <c r="AM9" s="12">
        <f t="shared" si="12"/>
        <v>53</v>
      </c>
      <c r="AN9" s="9">
        <f t="shared" si="13"/>
        <v>201</v>
      </c>
      <c r="AO9" s="10">
        <f t="shared" si="14"/>
        <v>88</v>
      </c>
      <c r="AP9" s="11">
        <f t="shared" si="15"/>
        <v>264</v>
      </c>
      <c r="AQ9">
        <f t="shared" si="16"/>
        <v>553</v>
      </c>
    </row>
    <row r="10" ht="14.25">
      <c r="A10" s="1">
        <v>3</v>
      </c>
      <c r="B10" s="4">
        <v>27</v>
      </c>
      <c r="C10" s="5">
        <v>20</v>
      </c>
      <c r="D10" s="6">
        <f t="shared" ref="D10:D17" si="17">E10-B10-C10</f>
        <v>46</v>
      </c>
      <c r="E10" s="1">
        <v>93</v>
      </c>
      <c r="F10" s="4">
        <v>35</v>
      </c>
      <c r="G10" s="5">
        <v>22</v>
      </c>
      <c r="H10" s="6">
        <f t="shared" ref="H10:H17" si="18">I10-F10-G10</f>
        <v>43</v>
      </c>
      <c r="I10" s="1">
        <v>100</v>
      </c>
      <c r="J10" s="4">
        <v>42</v>
      </c>
      <c r="K10" s="5">
        <v>10</v>
      </c>
      <c r="L10" s="6">
        <f t="shared" ref="L10:L17" si="19">M10-J10-K10</f>
        <v>48</v>
      </c>
      <c r="M10" s="1">
        <v>100</v>
      </c>
      <c r="N10" s="4">
        <v>38</v>
      </c>
      <c r="O10" s="5">
        <v>20</v>
      </c>
      <c r="P10" s="6">
        <f t="shared" ref="P10:P17" si="20">Q10-N10-O10</f>
        <v>42</v>
      </c>
      <c r="Q10" s="1">
        <v>100</v>
      </c>
      <c r="R10" s="4">
        <v>0</v>
      </c>
      <c r="S10" s="5">
        <v>15</v>
      </c>
      <c r="T10" s="6">
        <f t="shared" ref="T10:T17" si="21">U10-R10-S10</f>
        <v>79</v>
      </c>
      <c r="U10" s="1">
        <v>94</v>
      </c>
      <c r="V10" s="4">
        <v>0</v>
      </c>
      <c r="W10" s="5">
        <v>39</v>
      </c>
      <c r="X10" s="6">
        <f t="shared" ref="X10:X17" si="22">Y10-V10-W10</f>
        <v>61</v>
      </c>
      <c r="Y10" s="1">
        <v>100</v>
      </c>
      <c r="Z10" s="4">
        <v>47</v>
      </c>
      <c r="AA10" s="5">
        <v>15</v>
      </c>
      <c r="AB10" s="6">
        <f t="shared" ref="AB10:AB17" si="23">AC10-Z10-AA10</f>
        <v>38</v>
      </c>
      <c r="AC10" s="1">
        <v>100</v>
      </c>
      <c r="AD10" s="4">
        <v>19</v>
      </c>
      <c r="AE10" s="5">
        <v>3</v>
      </c>
      <c r="AF10" s="6">
        <f t="shared" ref="AF10:AF11" si="24">AG10-AD10-AE10</f>
        <v>33</v>
      </c>
      <c r="AG10" s="1">
        <v>55</v>
      </c>
      <c r="AH10" s="4">
        <f t="shared" ref="AH10:AH17" si="25">B10+F10+J10+N10+R10+V10+Z10+AD10</f>
        <v>208</v>
      </c>
      <c r="AI10" s="5">
        <f t="shared" ref="AI10:AI17" si="26">C10+G10+K10+O10+S10+W10+AA10+AE10</f>
        <v>144</v>
      </c>
      <c r="AJ10" s="6">
        <f t="shared" ref="AJ10:AJ17" si="27">D10+H10+L10+P10+T10+X10+AB10+AF10</f>
        <v>390</v>
      </c>
      <c r="AK10" s="1">
        <f t="shared" ref="AK10:AK17" si="28">AH10+AI10+AJ10</f>
        <v>742</v>
      </c>
      <c r="AL10" s="7">
        <v>0</v>
      </c>
      <c r="AM10" s="12">
        <f t="shared" ref="AM10:AM17" si="29">800-AK10</f>
        <v>58</v>
      </c>
      <c r="AN10" s="9">
        <f t="shared" ref="AN10:AN17" si="30">B10+F10+J10+N10+Z10+AD10</f>
        <v>208</v>
      </c>
      <c r="AO10" s="10">
        <f t="shared" ref="AO10:AO17" si="31">C10+G10+K10+O10+AA10+AE10</f>
        <v>90</v>
      </c>
      <c r="AP10" s="11">
        <f t="shared" ref="AP10:AP17" si="32">D10+H10+L10+P10+AB10+AF10</f>
        <v>250</v>
      </c>
      <c r="AQ10">
        <f t="shared" ref="AQ10:AQ17" si="33">E10+I10+M10+Q10+AC10+AG10</f>
        <v>548</v>
      </c>
    </row>
    <row r="11" ht="14.25">
      <c r="A11" s="1">
        <v>4</v>
      </c>
      <c r="B11" s="4">
        <v>27</v>
      </c>
      <c r="C11" s="5">
        <v>31</v>
      </c>
      <c r="D11" s="6">
        <f t="shared" si="17"/>
        <v>37</v>
      </c>
      <c r="E11" s="1">
        <v>95</v>
      </c>
      <c r="F11" s="4">
        <v>37</v>
      </c>
      <c r="G11" s="5">
        <v>22</v>
      </c>
      <c r="H11" s="6">
        <f t="shared" si="18"/>
        <v>41</v>
      </c>
      <c r="I11" s="1">
        <v>100</v>
      </c>
      <c r="J11" s="4">
        <v>40</v>
      </c>
      <c r="K11" s="5">
        <v>12</v>
      </c>
      <c r="L11" s="6">
        <f t="shared" si="19"/>
        <v>48</v>
      </c>
      <c r="M11" s="1">
        <v>100</v>
      </c>
      <c r="N11" s="4">
        <v>41</v>
      </c>
      <c r="O11" s="5">
        <v>15</v>
      </c>
      <c r="P11" s="6">
        <f t="shared" si="20"/>
        <v>44</v>
      </c>
      <c r="Q11" s="1">
        <v>100</v>
      </c>
      <c r="R11" s="4">
        <v>0</v>
      </c>
      <c r="S11" s="5">
        <v>11</v>
      </c>
      <c r="T11" s="6">
        <f t="shared" si="21"/>
        <v>83</v>
      </c>
      <c r="U11" s="1">
        <v>94</v>
      </c>
      <c r="V11" s="4">
        <v>0</v>
      </c>
      <c r="W11" s="5">
        <v>37</v>
      </c>
      <c r="X11" s="6">
        <f t="shared" si="22"/>
        <v>63</v>
      </c>
      <c r="Y11" s="1">
        <v>100</v>
      </c>
      <c r="Z11" s="4">
        <v>44</v>
      </c>
      <c r="AA11" s="5">
        <v>13</v>
      </c>
      <c r="AB11" s="6">
        <f t="shared" si="23"/>
        <v>43</v>
      </c>
      <c r="AC11" s="1">
        <v>100</v>
      </c>
      <c r="AD11" s="4">
        <v>19</v>
      </c>
      <c r="AE11" s="5">
        <v>5</v>
      </c>
      <c r="AF11" s="6">
        <f t="shared" si="24"/>
        <v>31</v>
      </c>
      <c r="AG11" s="1">
        <v>55</v>
      </c>
      <c r="AH11" s="4">
        <f t="shared" si="25"/>
        <v>208</v>
      </c>
      <c r="AI11" s="5">
        <f t="shared" si="26"/>
        <v>146</v>
      </c>
      <c r="AJ11" s="6">
        <f t="shared" si="27"/>
        <v>390</v>
      </c>
      <c r="AK11" s="1">
        <f t="shared" si="28"/>
        <v>744</v>
      </c>
      <c r="AL11" s="7">
        <v>1</v>
      </c>
      <c r="AM11" s="12">
        <f t="shared" si="29"/>
        <v>56</v>
      </c>
      <c r="AN11" s="9">
        <f t="shared" si="30"/>
        <v>208</v>
      </c>
      <c r="AO11" s="10">
        <f t="shared" si="31"/>
        <v>98</v>
      </c>
      <c r="AP11" s="11">
        <f t="shared" si="32"/>
        <v>244</v>
      </c>
      <c r="AQ11">
        <f t="shared" si="33"/>
        <v>550</v>
      </c>
    </row>
    <row r="12" ht="14.25">
      <c r="A12" s="1">
        <v>5</v>
      </c>
      <c r="B12" s="4">
        <v>27</v>
      </c>
      <c r="C12" s="5">
        <v>25</v>
      </c>
      <c r="D12" s="6">
        <f t="shared" si="17"/>
        <v>42</v>
      </c>
      <c r="E12" s="1">
        <v>94</v>
      </c>
      <c r="F12" s="4">
        <v>39</v>
      </c>
      <c r="G12" s="5">
        <v>22</v>
      </c>
      <c r="H12" s="6">
        <f t="shared" si="18"/>
        <v>39</v>
      </c>
      <c r="I12" s="1">
        <v>100</v>
      </c>
      <c r="J12" s="4">
        <v>49</v>
      </c>
      <c r="K12" s="5">
        <v>15</v>
      </c>
      <c r="L12" s="6">
        <f t="shared" si="19"/>
        <v>36</v>
      </c>
      <c r="M12" s="1">
        <v>100</v>
      </c>
      <c r="N12" s="4">
        <v>39</v>
      </c>
      <c r="O12" s="5">
        <v>15</v>
      </c>
      <c r="P12" s="6">
        <f t="shared" si="20"/>
        <v>46</v>
      </c>
      <c r="Q12" s="1">
        <v>100</v>
      </c>
      <c r="R12" s="4">
        <v>0</v>
      </c>
      <c r="S12" s="5">
        <v>13</v>
      </c>
      <c r="T12" s="6">
        <f t="shared" si="21"/>
        <v>81</v>
      </c>
      <c r="U12" s="1">
        <v>94</v>
      </c>
      <c r="V12" s="4">
        <v>0</v>
      </c>
      <c r="W12" s="5">
        <v>33</v>
      </c>
      <c r="X12" s="6">
        <f t="shared" si="22"/>
        <v>67</v>
      </c>
      <c r="Y12" s="1">
        <v>100</v>
      </c>
      <c r="Z12" s="4">
        <v>45</v>
      </c>
      <c r="AA12" s="5">
        <v>13</v>
      </c>
      <c r="AB12" s="6">
        <f t="shared" si="23"/>
        <v>42</v>
      </c>
      <c r="AC12" s="1">
        <v>100</v>
      </c>
      <c r="AD12" s="4">
        <v>15</v>
      </c>
      <c r="AE12" s="5">
        <v>5</v>
      </c>
      <c r="AF12" s="6">
        <f>AG12-AE12-AD12</f>
        <v>35</v>
      </c>
      <c r="AG12" s="1">
        <v>55</v>
      </c>
      <c r="AH12" s="4">
        <f t="shared" si="25"/>
        <v>214</v>
      </c>
      <c r="AI12" s="5">
        <f t="shared" si="26"/>
        <v>141</v>
      </c>
      <c r="AJ12" s="6">
        <f t="shared" si="27"/>
        <v>388</v>
      </c>
      <c r="AK12" s="1">
        <f t="shared" si="28"/>
        <v>743</v>
      </c>
      <c r="AL12" s="7">
        <v>0</v>
      </c>
      <c r="AM12" s="12">
        <f t="shared" si="29"/>
        <v>57</v>
      </c>
      <c r="AN12" s="9">
        <f t="shared" si="30"/>
        <v>214</v>
      </c>
      <c r="AO12" s="10">
        <f t="shared" si="31"/>
        <v>95</v>
      </c>
      <c r="AP12" s="11">
        <f t="shared" si="32"/>
        <v>240</v>
      </c>
      <c r="AQ12">
        <f t="shared" si="33"/>
        <v>549</v>
      </c>
    </row>
    <row r="13" ht="14.25">
      <c r="A13" s="1">
        <v>6</v>
      </c>
      <c r="B13" s="4">
        <v>22</v>
      </c>
      <c r="C13" s="5">
        <v>28</v>
      </c>
      <c r="D13" s="6">
        <f t="shared" si="17"/>
        <v>45</v>
      </c>
      <c r="E13" s="1">
        <v>95</v>
      </c>
      <c r="F13" s="4">
        <v>33</v>
      </c>
      <c r="G13" s="5">
        <v>23</v>
      </c>
      <c r="H13" s="6">
        <f t="shared" si="18"/>
        <v>44</v>
      </c>
      <c r="I13" s="1">
        <v>100</v>
      </c>
      <c r="J13" s="4">
        <v>50</v>
      </c>
      <c r="K13" s="5">
        <v>10</v>
      </c>
      <c r="L13" s="6">
        <f t="shared" si="19"/>
        <v>40</v>
      </c>
      <c r="M13" s="1">
        <v>100</v>
      </c>
      <c r="N13" s="4">
        <v>42</v>
      </c>
      <c r="O13" s="5">
        <v>19</v>
      </c>
      <c r="P13" s="6">
        <f t="shared" si="20"/>
        <v>39</v>
      </c>
      <c r="Q13" s="1">
        <v>100</v>
      </c>
      <c r="R13" s="4">
        <v>0</v>
      </c>
      <c r="S13" s="5">
        <v>17</v>
      </c>
      <c r="T13" s="6">
        <f t="shared" si="21"/>
        <v>77</v>
      </c>
      <c r="U13" s="1">
        <v>94</v>
      </c>
      <c r="V13" s="4">
        <v>0</v>
      </c>
      <c r="W13" s="5">
        <v>42</v>
      </c>
      <c r="X13" s="6">
        <f t="shared" si="22"/>
        <v>58</v>
      </c>
      <c r="Y13" s="1">
        <v>100</v>
      </c>
      <c r="Z13" s="4">
        <v>41</v>
      </c>
      <c r="AA13" s="5">
        <v>10</v>
      </c>
      <c r="AB13" s="6">
        <f t="shared" si="23"/>
        <v>49</v>
      </c>
      <c r="AC13" s="1">
        <v>100</v>
      </c>
      <c r="AD13" s="4">
        <v>19</v>
      </c>
      <c r="AE13" s="5">
        <v>5</v>
      </c>
      <c r="AF13" s="6">
        <f t="shared" ref="AF13:AF17" si="34">AG13-AD13-AE13</f>
        <v>31</v>
      </c>
      <c r="AG13" s="1">
        <v>55</v>
      </c>
      <c r="AH13" s="4">
        <f t="shared" si="25"/>
        <v>207</v>
      </c>
      <c r="AI13" s="5">
        <f t="shared" si="26"/>
        <v>154</v>
      </c>
      <c r="AJ13" s="6">
        <f t="shared" si="27"/>
        <v>383</v>
      </c>
      <c r="AK13" s="1">
        <f t="shared" si="28"/>
        <v>744</v>
      </c>
      <c r="AL13" s="7">
        <v>1</v>
      </c>
      <c r="AM13" s="12">
        <f t="shared" si="29"/>
        <v>56</v>
      </c>
      <c r="AN13" s="9">
        <f t="shared" si="30"/>
        <v>207</v>
      </c>
      <c r="AO13" s="10">
        <f t="shared" si="31"/>
        <v>95</v>
      </c>
      <c r="AP13" s="11">
        <f t="shared" si="32"/>
        <v>248</v>
      </c>
      <c r="AQ13">
        <f t="shared" si="33"/>
        <v>550</v>
      </c>
    </row>
    <row r="14" ht="14.25">
      <c r="A14" s="1">
        <v>7</v>
      </c>
      <c r="B14" s="4">
        <v>22</v>
      </c>
      <c r="C14" s="5">
        <v>37</v>
      </c>
      <c r="D14" s="6">
        <f t="shared" si="17"/>
        <v>39</v>
      </c>
      <c r="E14" s="1">
        <v>98</v>
      </c>
      <c r="F14" s="4">
        <v>35</v>
      </c>
      <c r="G14" s="5">
        <v>24</v>
      </c>
      <c r="H14" s="6">
        <f t="shared" si="18"/>
        <v>41</v>
      </c>
      <c r="I14" s="1">
        <v>100</v>
      </c>
      <c r="J14" s="4">
        <v>43</v>
      </c>
      <c r="K14" s="5">
        <v>15</v>
      </c>
      <c r="L14" s="6">
        <f t="shared" si="19"/>
        <v>42</v>
      </c>
      <c r="M14" s="1">
        <v>100</v>
      </c>
      <c r="N14" s="4">
        <v>41</v>
      </c>
      <c r="O14" s="5">
        <v>20</v>
      </c>
      <c r="P14" s="6">
        <f t="shared" si="20"/>
        <v>39</v>
      </c>
      <c r="Q14" s="1">
        <v>100</v>
      </c>
      <c r="R14" s="4">
        <v>0</v>
      </c>
      <c r="S14" s="5">
        <v>12</v>
      </c>
      <c r="T14" s="6">
        <f t="shared" si="21"/>
        <v>82</v>
      </c>
      <c r="U14" s="1">
        <v>94</v>
      </c>
      <c r="V14" s="4">
        <v>0</v>
      </c>
      <c r="W14" s="5">
        <v>40</v>
      </c>
      <c r="X14" s="6">
        <f t="shared" si="22"/>
        <v>60</v>
      </c>
      <c r="Y14" s="1">
        <v>100</v>
      </c>
      <c r="Z14" s="4">
        <v>45</v>
      </c>
      <c r="AA14" s="5">
        <v>12</v>
      </c>
      <c r="AB14" s="6">
        <f t="shared" si="23"/>
        <v>43</v>
      </c>
      <c r="AC14" s="1">
        <v>100</v>
      </c>
      <c r="AD14" s="4">
        <v>17</v>
      </c>
      <c r="AE14" s="5">
        <v>3</v>
      </c>
      <c r="AF14" s="6">
        <f t="shared" si="34"/>
        <v>35</v>
      </c>
      <c r="AG14" s="1">
        <v>55</v>
      </c>
      <c r="AH14" s="4">
        <f t="shared" si="25"/>
        <v>203</v>
      </c>
      <c r="AI14" s="5">
        <f t="shared" si="26"/>
        <v>163</v>
      </c>
      <c r="AJ14" s="6">
        <f t="shared" si="27"/>
        <v>381</v>
      </c>
      <c r="AK14" s="1">
        <f t="shared" si="28"/>
        <v>747</v>
      </c>
      <c r="AL14" s="7">
        <v>0</v>
      </c>
      <c r="AM14" s="12">
        <f t="shared" si="29"/>
        <v>53</v>
      </c>
      <c r="AN14" s="9">
        <f t="shared" si="30"/>
        <v>203</v>
      </c>
      <c r="AO14" s="10">
        <f t="shared" si="31"/>
        <v>111</v>
      </c>
      <c r="AP14" s="11">
        <f t="shared" si="32"/>
        <v>239</v>
      </c>
      <c r="AQ14">
        <f t="shared" si="33"/>
        <v>553</v>
      </c>
    </row>
    <row r="15" ht="14.25">
      <c r="A15" s="1">
        <v>8</v>
      </c>
      <c r="B15" s="4">
        <v>28</v>
      </c>
      <c r="C15" s="5">
        <v>37</v>
      </c>
      <c r="D15" s="6">
        <f t="shared" si="17"/>
        <v>33</v>
      </c>
      <c r="E15" s="1">
        <v>98</v>
      </c>
      <c r="F15" s="4">
        <v>37</v>
      </c>
      <c r="G15" s="5">
        <v>27</v>
      </c>
      <c r="H15" s="6">
        <f t="shared" si="18"/>
        <v>36</v>
      </c>
      <c r="I15" s="1">
        <v>100</v>
      </c>
      <c r="J15" s="4">
        <v>40</v>
      </c>
      <c r="K15" s="5">
        <v>16</v>
      </c>
      <c r="L15" s="6">
        <f t="shared" si="19"/>
        <v>44</v>
      </c>
      <c r="M15" s="1">
        <v>100</v>
      </c>
      <c r="N15" s="4">
        <v>40</v>
      </c>
      <c r="O15" s="5">
        <v>15</v>
      </c>
      <c r="P15" s="6">
        <f t="shared" si="20"/>
        <v>45</v>
      </c>
      <c r="Q15" s="1">
        <v>100</v>
      </c>
      <c r="R15" s="4">
        <v>0</v>
      </c>
      <c r="S15" s="5">
        <v>11</v>
      </c>
      <c r="T15" s="6">
        <f t="shared" si="21"/>
        <v>83</v>
      </c>
      <c r="U15" s="1">
        <v>94</v>
      </c>
      <c r="V15" s="4">
        <v>0</v>
      </c>
      <c r="W15" s="5">
        <v>40</v>
      </c>
      <c r="X15" s="6">
        <f t="shared" si="22"/>
        <v>60</v>
      </c>
      <c r="Y15" s="1">
        <v>100</v>
      </c>
      <c r="Z15" s="4">
        <v>40</v>
      </c>
      <c r="AA15" s="5">
        <v>14</v>
      </c>
      <c r="AB15" s="6">
        <f t="shared" si="23"/>
        <v>46</v>
      </c>
      <c r="AC15" s="1">
        <v>100</v>
      </c>
      <c r="AD15" s="4">
        <v>18</v>
      </c>
      <c r="AE15" s="5">
        <v>4</v>
      </c>
      <c r="AF15" s="6">
        <f t="shared" si="34"/>
        <v>33</v>
      </c>
      <c r="AG15" s="1">
        <v>55</v>
      </c>
      <c r="AH15" s="4">
        <f t="shared" si="25"/>
        <v>203</v>
      </c>
      <c r="AI15" s="5">
        <f t="shared" si="26"/>
        <v>164</v>
      </c>
      <c r="AJ15" s="6">
        <f t="shared" si="27"/>
        <v>380</v>
      </c>
      <c r="AK15" s="1">
        <f t="shared" si="28"/>
        <v>747</v>
      </c>
      <c r="AL15" s="7">
        <v>0</v>
      </c>
      <c r="AM15" s="12">
        <f t="shared" si="29"/>
        <v>53</v>
      </c>
      <c r="AN15" s="9">
        <f t="shared" si="30"/>
        <v>203</v>
      </c>
      <c r="AO15" s="10">
        <f t="shared" si="31"/>
        <v>113</v>
      </c>
      <c r="AP15" s="11">
        <f t="shared" si="32"/>
        <v>237</v>
      </c>
      <c r="AQ15">
        <f t="shared" si="33"/>
        <v>553</v>
      </c>
    </row>
    <row r="16" ht="14.25">
      <c r="A16" s="1">
        <v>9</v>
      </c>
      <c r="B16" s="4">
        <v>32</v>
      </c>
      <c r="C16" s="5">
        <v>28</v>
      </c>
      <c r="D16" s="6">
        <f t="shared" si="17"/>
        <v>36</v>
      </c>
      <c r="E16" s="1">
        <v>96</v>
      </c>
      <c r="F16" s="4">
        <v>41</v>
      </c>
      <c r="G16" s="5">
        <v>23</v>
      </c>
      <c r="H16" s="6">
        <f t="shared" si="18"/>
        <v>36</v>
      </c>
      <c r="I16" s="1">
        <v>100</v>
      </c>
      <c r="J16" s="4">
        <v>37</v>
      </c>
      <c r="K16" s="5">
        <v>9</v>
      </c>
      <c r="L16" s="6">
        <f t="shared" si="19"/>
        <v>54</v>
      </c>
      <c r="M16" s="1">
        <v>100</v>
      </c>
      <c r="N16" s="4">
        <v>44</v>
      </c>
      <c r="O16" s="5">
        <v>22</v>
      </c>
      <c r="P16" s="6">
        <f t="shared" si="20"/>
        <v>34</v>
      </c>
      <c r="Q16" s="1">
        <v>100</v>
      </c>
      <c r="R16" s="4">
        <v>0</v>
      </c>
      <c r="S16" s="5">
        <v>16</v>
      </c>
      <c r="T16" s="6">
        <f t="shared" si="21"/>
        <v>78</v>
      </c>
      <c r="U16" s="1">
        <v>94</v>
      </c>
      <c r="V16" s="4">
        <v>0</v>
      </c>
      <c r="W16" s="5">
        <v>36</v>
      </c>
      <c r="X16" s="6">
        <f t="shared" si="22"/>
        <v>64</v>
      </c>
      <c r="Y16" s="1">
        <v>100</v>
      </c>
      <c r="Z16" s="4">
        <v>44</v>
      </c>
      <c r="AA16" s="5">
        <v>11</v>
      </c>
      <c r="AB16" s="6">
        <f t="shared" si="23"/>
        <v>45</v>
      </c>
      <c r="AC16" s="1">
        <v>100</v>
      </c>
      <c r="AD16" s="4">
        <v>17</v>
      </c>
      <c r="AE16" s="5">
        <v>4</v>
      </c>
      <c r="AF16" s="6">
        <f t="shared" si="34"/>
        <v>34</v>
      </c>
      <c r="AG16" s="1">
        <v>55</v>
      </c>
      <c r="AH16" s="4">
        <f t="shared" si="25"/>
        <v>215</v>
      </c>
      <c r="AI16" s="5">
        <f t="shared" si="26"/>
        <v>149</v>
      </c>
      <c r="AJ16" s="6">
        <f t="shared" si="27"/>
        <v>381</v>
      </c>
      <c r="AK16" s="1">
        <f t="shared" si="28"/>
        <v>745</v>
      </c>
      <c r="AL16" s="7">
        <v>0</v>
      </c>
      <c r="AM16" s="12">
        <f t="shared" si="29"/>
        <v>55</v>
      </c>
      <c r="AN16" s="9">
        <f t="shared" si="30"/>
        <v>215</v>
      </c>
      <c r="AO16" s="10">
        <f t="shared" si="31"/>
        <v>97</v>
      </c>
      <c r="AP16" s="11">
        <f t="shared" si="32"/>
        <v>239</v>
      </c>
      <c r="AQ16">
        <f t="shared" si="33"/>
        <v>551</v>
      </c>
    </row>
    <row r="17" ht="14.25">
      <c r="A17" s="1">
        <v>10</v>
      </c>
      <c r="B17" s="4">
        <v>31</v>
      </c>
      <c r="C17" s="5">
        <v>32</v>
      </c>
      <c r="D17" s="6">
        <f t="shared" si="17"/>
        <v>35</v>
      </c>
      <c r="E17" s="1">
        <v>98</v>
      </c>
      <c r="F17" s="4">
        <v>35</v>
      </c>
      <c r="G17" s="5">
        <v>20</v>
      </c>
      <c r="H17" s="6">
        <f t="shared" si="18"/>
        <v>45</v>
      </c>
      <c r="I17" s="1">
        <v>100</v>
      </c>
      <c r="J17" s="4">
        <v>42</v>
      </c>
      <c r="K17" s="5">
        <v>12</v>
      </c>
      <c r="L17" s="6">
        <f t="shared" si="19"/>
        <v>46</v>
      </c>
      <c r="M17" s="1">
        <v>100</v>
      </c>
      <c r="N17" s="4">
        <v>42</v>
      </c>
      <c r="O17" s="5">
        <v>18</v>
      </c>
      <c r="P17" s="6">
        <f t="shared" si="20"/>
        <v>40</v>
      </c>
      <c r="Q17" s="1">
        <v>100</v>
      </c>
      <c r="R17" s="4">
        <v>0</v>
      </c>
      <c r="S17" s="5">
        <v>12</v>
      </c>
      <c r="T17" s="6">
        <f t="shared" si="21"/>
        <v>82</v>
      </c>
      <c r="U17" s="1">
        <v>94</v>
      </c>
      <c r="V17" s="4">
        <v>0</v>
      </c>
      <c r="W17" s="5">
        <v>35</v>
      </c>
      <c r="X17" s="6">
        <f t="shared" si="22"/>
        <v>65</v>
      </c>
      <c r="Y17" s="1">
        <v>100</v>
      </c>
      <c r="Z17" s="4">
        <v>43</v>
      </c>
      <c r="AA17" s="5">
        <v>13</v>
      </c>
      <c r="AB17" s="6">
        <f t="shared" si="23"/>
        <v>44</v>
      </c>
      <c r="AC17" s="1">
        <v>100</v>
      </c>
      <c r="AD17" s="4">
        <v>18</v>
      </c>
      <c r="AE17" s="5">
        <v>3</v>
      </c>
      <c r="AF17" s="6">
        <f t="shared" si="34"/>
        <v>34</v>
      </c>
      <c r="AG17" s="1">
        <v>55</v>
      </c>
      <c r="AH17" s="4">
        <f t="shared" si="25"/>
        <v>211</v>
      </c>
      <c r="AI17" s="5">
        <f t="shared" si="26"/>
        <v>145</v>
      </c>
      <c r="AJ17" s="6">
        <f t="shared" si="27"/>
        <v>391</v>
      </c>
      <c r="AK17" s="1">
        <f t="shared" si="28"/>
        <v>747</v>
      </c>
      <c r="AL17" s="7">
        <v>0</v>
      </c>
      <c r="AM17" s="12">
        <f t="shared" si="29"/>
        <v>53</v>
      </c>
      <c r="AN17" s="9">
        <f t="shared" si="30"/>
        <v>211</v>
      </c>
      <c r="AO17" s="10">
        <f t="shared" si="31"/>
        <v>98</v>
      </c>
      <c r="AP17" s="11">
        <f t="shared" si="32"/>
        <v>244</v>
      </c>
      <c r="AQ17">
        <f t="shared" si="33"/>
        <v>553</v>
      </c>
    </row>
    <row r="18" ht="14.25">
      <c r="A18" s="1"/>
      <c r="B18" s="4"/>
      <c r="C18" s="5"/>
      <c r="D18" s="6"/>
      <c r="F18" s="4"/>
      <c r="G18" s="5"/>
      <c r="H18" s="6"/>
      <c r="J18" s="4"/>
      <c r="K18" s="5"/>
      <c r="L18" s="6"/>
      <c r="N18" s="4"/>
      <c r="O18" s="5"/>
      <c r="P18" s="6"/>
      <c r="R18" s="4"/>
      <c r="S18" s="5"/>
      <c r="T18" s="6"/>
      <c r="V18" s="4"/>
      <c r="W18" s="5"/>
      <c r="X18" s="6"/>
      <c r="Z18" s="4"/>
      <c r="AA18" s="5"/>
      <c r="AB18" s="6"/>
      <c r="AD18" s="4"/>
      <c r="AE18" s="5"/>
      <c r="AF18" s="6"/>
      <c r="AH18" s="4"/>
      <c r="AI18" s="5"/>
      <c r="AJ18" s="6"/>
      <c r="AL18" s="13"/>
      <c r="AM18" s="8"/>
      <c r="AN18" s="9"/>
      <c r="AO18" s="10"/>
      <c r="AP18" s="11"/>
    </row>
    <row r="19" ht="14.25">
      <c r="A19" s="1" t="s">
        <v>16</v>
      </c>
      <c r="B19" s="4">
        <f>SUM(B8:B17)</f>
        <v>276</v>
      </c>
      <c r="C19" s="5">
        <f>SUM(C8:C17)</f>
        <v>281</v>
      </c>
      <c r="D19" s="6">
        <f>SUM(D8:D17)</f>
        <v>403</v>
      </c>
      <c r="E19" s="1">
        <f>SUM(E8:E17)</f>
        <v>960</v>
      </c>
      <c r="F19" s="4">
        <f>SUM(F8:F17)</f>
        <v>354</v>
      </c>
      <c r="G19" s="5">
        <f>SUM(G8:G17)</f>
        <v>231</v>
      </c>
      <c r="H19" s="6">
        <f>SUM(H8:H17)</f>
        <v>415</v>
      </c>
      <c r="I19" s="1">
        <f>SUM(I8:I17)</f>
        <v>1000</v>
      </c>
      <c r="J19" s="4">
        <f>SUM(J8:J17)</f>
        <v>435</v>
      </c>
      <c r="K19" s="5">
        <f>SUM(K8:K17)</f>
        <v>123</v>
      </c>
      <c r="L19" s="6">
        <f>SUM(L8:L17)</f>
        <v>442</v>
      </c>
      <c r="M19" s="1">
        <f>SUM(M8:M17)</f>
        <v>1000</v>
      </c>
      <c r="N19" s="4">
        <f>SUM(N8:N17)</f>
        <v>406</v>
      </c>
      <c r="O19" s="5">
        <f>SUM(O8:O17)</f>
        <v>174</v>
      </c>
      <c r="P19" s="6">
        <f>SUM(P8:P17)</f>
        <v>420</v>
      </c>
      <c r="Q19" s="1">
        <f>SUM(Q8:Q17)</f>
        <v>1000</v>
      </c>
      <c r="R19" s="4">
        <f>SUM(R8:R17)</f>
        <v>0</v>
      </c>
      <c r="S19" s="5">
        <f>SUM(S8:S17)</f>
        <v>136</v>
      </c>
      <c r="T19" s="6">
        <f>SUM(T8:T17)</f>
        <v>804</v>
      </c>
      <c r="U19" s="1">
        <f>SUM(U8:U17)</f>
        <v>940</v>
      </c>
      <c r="V19" s="4">
        <f>SUM(V8:V17)</f>
        <v>0</v>
      </c>
      <c r="W19" s="5">
        <f>SUM(W8:W17)</f>
        <v>367</v>
      </c>
      <c r="X19" s="6">
        <f>SUM(X8:X17)</f>
        <v>633</v>
      </c>
      <c r="Y19" s="1">
        <f>SUM(Y8:Y17)</f>
        <v>1000</v>
      </c>
      <c r="Z19" s="4">
        <f>SUM(Z8:Z17)</f>
        <v>431</v>
      </c>
      <c r="AA19" s="5">
        <f>SUM(AA8:AA17)</f>
        <v>123</v>
      </c>
      <c r="AB19" s="6">
        <f>SUM(AB8:AB17)</f>
        <v>446</v>
      </c>
      <c r="AC19" s="1">
        <f>SUM(AC8:AC17)</f>
        <v>1000</v>
      </c>
      <c r="AD19" s="4">
        <f>SUM(AD8:AD17)</f>
        <v>175</v>
      </c>
      <c r="AE19" s="5">
        <f>SUM(AE8:AE17)</f>
        <v>39</v>
      </c>
      <c r="AF19" s="6">
        <f>SUM(AF8:AF17)</f>
        <v>336</v>
      </c>
      <c r="AG19" s="1">
        <f>SUM(AG8:AG17)</f>
        <v>550</v>
      </c>
      <c r="AH19" s="4">
        <f>SUM(AH8:AH17)</f>
        <v>2077</v>
      </c>
      <c r="AI19" s="5">
        <f>SUM(AI8:AI17)</f>
        <v>1474</v>
      </c>
      <c r="AJ19" s="6">
        <f>SUM(AJ8:AJ17)</f>
        <v>3899</v>
      </c>
      <c r="AK19" s="1">
        <f>SUM(AK8:AK17)</f>
        <v>7450</v>
      </c>
      <c r="AL19" s="7">
        <f>SUM(AL8:AL17)</f>
        <v>3</v>
      </c>
      <c r="AM19" s="12">
        <f>SUM(AM8:AM17)</f>
        <v>550</v>
      </c>
      <c r="AN19" s="9">
        <f>SUM(AN8:AN17)</f>
        <v>2077</v>
      </c>
      <c r="AO19" s="10">
        <f>SUM(AO8:AO17)</f>
        <v>971</v>
      </c>
      <c r="AP19" s="11">
        <f>SUM(AP8:AP17)</f>
        <v>2462</v>
      </c>
      <c r="AQ19">
        <f>SUM(AQ8:AQ17)</f>
        <v>5510</v>
      </c>
    </row>
    <row r="20" ht="14.25">
      <c r="A20" s="1" t="s">
        <v>17</v>
      </c>
      <c r="B20" s="4">
        <f>AVERAGE(B8:B17)</f>
        <v>27.600000000000001</v>
      </c>
      <c r="C20" s="5">
        <f>AVERAGE(C8:C17)</f>
        <v>28.100000000000001</v>
      </c>
      <c r="D20" s="6">
        <f>AVERAGE(D8:D17)</f>
        <v>40.299999999999997</v>
      </c>
      <c r="E20" s="1">
        <f>AVERAGE(E8:E17)</f>
        <v>96</v>
      </c>
      <c r="F20" s="4">
        <f>AVERAGE(F8:F17)</f>
        <v>35.399999999999999</v>
      </c>
      <c r="G20" s="5">
        <f>AVERAGE(G8:G17)</f>
        <v>23.100000000000001</v>
      </c>
      <c r="H20" s="6">
        <f>AVERAGE(H8:H17)</f>
        <v>41.5</v>
      </c>
      <c r="I20" s="1">
        <f>AVERAGE(I8:I17)</f>
        <v>100</v>
      </c>
      <c r="J20" s="4">
        <f>AVERAGE(J8:J17)</f>
        <v>43.5</v>
      </c>
      <c r="K20" s="5">
        <f>AVERAGE(K8:K17)</f>
        <v>12.300000000000001</v>
      </c>
      <c r="L20" s="6">
        <f>AVERAGE(L8:L17)</f>
        <v>44.200000000000003</v>
      </c>
      <c r="M20" s="1">
        <f>AVERAGE(M8:M17)</f>
        <v>100</v>
      </c>
      <c r="N20" s="4">
        <f>AVERAGE(N8:N17)</f>
        <v>40.600000000000001</v>
      </c>
      <c r="O20" s="5">
        <f>AVERAGE(O8:O17)</f>
        <v>17.399999999999999</v>
      </c>
      <c r="P20" s="6">
        <f>AVERAGE(P8:P17)</f>
        <v>42</v>
      </c>
      <c r="Q20" s="1">
        <f>AVERAGE(Q8:Q17)</f>
        <v>100</v>
      </c>
      <c r="R20" s="4">
        <f>AVERAGE(R8:R17)</f>
        <v>0</v>
      </c>
      <c r="S20" s="5">
        <f>AVERAGE(S8:S17)</f>
        <v>13.6</v>
      </c>
      <c r="T20" s="6">
        <f>AVERAGE(T8:T17)</f>
        <v>80.400000000000006</v>
      </c>
      <c r="U20" s="1">
        <f>AVERAGE(U8:U17)</f>
        <v>94</v>
      </c>
      <c r="V20" s="4">
        <f>AVERAGE(V8:V17)</f>
        <v>0</v>
      </c>
      <c r="W20" s="5">
        <f>AVERAGE(W8:W17)</f>
        <v>36.700000000000003</v>
      </c>
      <c r="X20" s="6">
        <f>AVERAGE(X8:X17)</f>
        <v>63.299999999999997</v>
      </c>
      <c r="Y20" s="1">
        <f>AVERAGE(Y8:Y17)</f>
        <v>100</v>
      </c>
      <c r="Z20" s="4">
        <f>AVERAGE(Z8:Z17)</f>
        <v>43.100000000000001</v>
      </c>
      <c r="AA20" s="5">
        <f>AVERAGE(AA8:AA17)</f>
        <v>12.300000000000001</v>
      </c>
      <c r="AB20" s="6">
        <f>AVERAGE(AB8:AB17)</f>
        <v>44.600000000000001</v>
      </c>
      <c r="AC20" s="1">
        <f>AVERAGE(AC8:AC17)</f>
        <v>100</v>
      </c>
      <c r="AD20" s="4">
        <f>AVERAGE(AD8:AD17)</f>
        <v>17.5</v>
      </c>
      <c r="AE20" s="5">
        <f>AVERAGE(AE8:AE17)</f>
        <v>3.8999999999999999</v>
      </c>
      <c r="AF20" s="6">
        <f>AVERAGE(AF8:AF17)</f>
        <v>33.600000000000001</v>
      </c>
      <c r="AG20" s="1">
        <f>AVERAGE(AG8:AG17)</f>
        <v>55</v>
      </c>
      <c r="AH20" s="4">
        <f>AVERAGE(AH8:AH17)</f>
        <v>207.69999999999999</v>
      </c>
      <c r="AI20" s="5">
        <f>AVERAGE(AI8:AI17)</f>
        <v>147.40000000000001</v>
      </c>
      <c r="AJ20" s="6">
        <f>AVERAGE(AJ8:AJ17)</f>
        <v>389.89999999999998</v>
      </c>
      <c r="AK20" s="1">
        <f>AVERAGE(AK8:AK17)</f>
        <v>745</v>
      </c>
      <c r="AL20" s="7">
        <f>AVERAGE(AL8:AL17)</f>
        <v>0.29999999999999999</v>
      </c>
      <c r="AM20" s="12">
        <f>AVERAGE(AM8:AM17)</f>
        <v>55</v>
      </c>
      <c r="AN20" s="9">
        <f>AVERAGE(AN8:AN17)</f>
        <v>207.69999999999999</v>
      </c>
      <c r="AO20" s="10">
        <f>AVERAGE(AO8:AO17)</f>
        <v>97.099999999999994</v>
      </c>
      <c r="AP20" s="11">
        <f>AVERAGE(AP8:AP17)</f>
        <v>246.19999999999999</v>
      </c>
      <c r="AQ20">
        <f>AVERAGE(AQ8:AQ17)</f>
        <v>551</v>
      </c>
    </row>
    <row r="21" ht="14.25">
      <c r="A21" s="1" t="s">
        <v>18</v>
      </c>
      <c r="B21" s="4">
        <f>MEDIAN(B8:B17)</f>
        <v>27.5</v>
      </c>
      <c r="C21" s="5">
        <f>MEDIAN(C8:C17)</f>
        <v>28</v>
      </c>
      <c r="D21" s="6">
        <f>MEDIAN(D8:D17)</f>
        <v>40.5</v>
      </c>
      <c r="E21" s="1">
        <f>MEDIAN(E8:E17)</f>
        <v>95.5</v>
      </c>
      <c r="F21" s="4">
        <f>MEDIAN(F8:F17)</f>
        <v>35</v>
      </c>
      <c r="G21" s="5">
        <f>MEDIAN(G8:G17)</f>
        <v>23</v>
      </c>
      <c r="H21" s="6">
        <f>MEDIAN(H8:H17)</f>
        <v>41.5</v>
      </c>
      <c r="I21" s="1">
        <f>MEDIAN(I8:I17)</f>
        <v>100</v>
      </c>
      <c r="J21" s="4">
        <f>MEDIAN(J8:J17)</f>
        <v>42.5</v>
      </c>
      <c r="K21" s="5">
        <f>MEDIAN(K8:K17)</f>
        <v>12</v>
      </c>
      <c r="L21" s="6">
        <f>MEDIAN(L8:L17)</f>
        <v>43</v>
      </c>
      <c r="M21" s="1">
        <f>MEDIAN(M8:M17)</f>
        <v>100</v>
      </c>
      <c r="N21" s="4">
        <f>MEDIAN(N8:N17)</f>
        <v>41</v>
      </c>
      <c r="O21" s="5">
        <f>MEDIAN(O8:O17)</f>
        <v>16.5</v>
      </c>
      <c r="P21" s="6">
        <f>MEDIAN(P8:P17)</f>
        <v>43</v>
      </c>
      <c r="Q21" s="1">
        <f>MEDIAN(Q8:Q17)</f>
        <v>100</v>
      </c>
      <c r="R21" s="4">
        <f>MEDIAN(R8:R17)</f>
        <v>0</v>
      </c>
      <c r="S21" s="5">
        <f>MEDIAN(S8:S17)</f>
        <v>13.5</v>
      </c>
      <c r="T21" s="6">
        <f>MEDIAN(T8:T17)</f>
        <v>80.5</v>
      </c>
      <c r="U21" s="1">
        <f>MEDIAN(U8:U17)</f>
        <v>94</v>
      </c>
      <c r="V21" s="4">
        <f>MEDIAN(V8:V17)</f>
        <v>0</v>
      </c>
      <c r="W21" s="5">
        <f>MEDIAN(W8:W17)</f>
        <v>36.5</v>
      </c>
      <c r="X21" s="6">
        <f>MEDIAN(X8:X17)</f>
        <v>63.5</v>
      </c>
      <c r="Y21" s="1">
        <f>MEDIAN(Y8:Y17)</f>
        <v>100</v>
      </c>
      <c r="Z21" s="4">
        <f>MEDIAN(Z8:Z17)</f>
        <v>43.5</v>
      </c>
      <c r="AA21" s="5">
        <f>MEDIAN(AA8:AA17)</f>
        <v>12.5</v>
      </c>
      <c r="AB21" s="6">
        <f>MEDIAN(AB8:AB17)</f>
        <v>44.5</v>
      </c>
      <c r="AC21" s="1">
        <f>MEDIAN(AC8:AC17)</f>
        <v>100</v>
      </c>
      <c r="AD21" s="4">
        <f>MEDIAN(AD8:AD17)</f>
        <v>17.5</v>
      </c>
      <c r="AE21" s="5">
        <f>MEDIAN(AE8:AE17)</f>
        <v>4</v>
      </c>
      <c r="AF21" s="6">
        <f>MEDIAN(AF8:AF17)</f>
        <v>34</v>
      </c>
      <c r="AG21" s="1">
        <f>MEDIAN(AG8:AG17)</f>
        <v>55</v>
      </c>
      <c r="AH21" s="4">
        <f>MEDIAN(AH8:AH17)</f>
        <v>207.5</v>
      </c>
      <c r="AI21" s="5">
        <f>MEDIAN(AI8:AI17)</f>
        <v>145.5</v>
      </c>
      <c r="AJ21" s="6">
        <f>MEDIAN(AJ8:AJ17)</f>
        <v>389</v>
      </c>
      <c r="AK21" s="1">
        <f>MEDIAN(AK8:AK17)</f>
        <v>744.5</v>
      </c>
      <c r="AL21" s="7">
        <f>MEDIAN(AL8:AL17)</f>
        <v>0</v>
      </c>
      <c r="AM21" s="12">
        <f>MEDIAN(AM8:AM17)</f>
        <v>55.5</v>
      </c>
      <c r="AN21" s="9">
        <f>MEDIAN(AN8:AN17)</f>
        <v>207.5</v>
      </c>
      <c r="AO21" s="10">
        <f>MEDIAN(AO8:AO17)</f>
        <v>96</v>
      </c>
      <c r="AP21" s="11">
        <f>MEDIAN(AP8:AP17)</f>
        <v>244</v>
      </c>
      <c r="AQ21">
        <f>MEDIAN(AQ8:AQ17)</f>
        <v>550.5</v>
      </c>
    </row>
    <row r="22" ht="14.25">
      <c r="A22" s="1" t="s">
        <v>19</v>
      </c>
      <c r="B22" s="4">
        <f>STDEV(B8:B17)</f>
        <v>3.565264521898917</v>
      </c>
      <c r="C22" s="5">
        <f>STDEV(C8:C17)</f>
        <v>6.4022565466317332</v>
      </c>
      <c r="D22" s="6">
        <f>STDEV(D8:D17)</f>
        <v>5.0782761729635082</v>
      </c>
      <c r="E22" s="1">
        <f>STDEV(E8:E17)</f>
        <v>1.8856180831641267</v>
      </c>
      <c r="F22" s="4">
        <f>STDEV(F8:F17)</f>
        <v>3.747591819348052</v>
      </c>
      <c r="G22" s="5">
        <f>STDEV(G8:G17)</f>
        <v>1.9119507199599981</v>
      </c>
      <c r="H22" s="6">
        <f>STDEV(H8:H17)</f>
        <v>3.8078865529319543</v>
      </c>
      <c r="I22" s="1">
        <f>STDEV(I8:I17)</f>
        <v>0</v>
      </c>
      <c r="J22" s="4">
        <f>STDEV(J8:J17)</f>
        <v>4.4032816045409691</v>
      </c>
      <c r="K22" s="5">
        <f>STDEV(K8:K17)</f>
        <v>2.7507574714370344</v>
      </c>
      <c r="L22" s="6">
        <f>STDEV(L8:L17)</f>
        <v>5.0288059108389627</v>
      </c>
      <c r="M22" s="1">
        <f>STDEV(M8:M17)</f>
        <v>0</v>
      </c>
      <c r="N22" s="4">
        <f>STDEV(N8:N17)</f>
        <v>1.8973665961010275</v>
      </c>
      <c r="O22" s="5">
        <f>STDEV(O8:O17)</f>
        <v>2.7162065049951147</v>
      </c>
      <c r="P22" s="6">
        <f>STDEV(P8:P17)</f>
        <v>4</v>
      </c>
      <c r="Q22" s="1">
        <f>STDEV(Q8:Q17)</f>
        <v>0</v>
      </c>
      <c r="R22" s="4">
        <f>STDEV(R8:R17)</f>
        <v>0</v>
      </c>
      <c r="S22" s="5">
        <f>STDEV(S8:S17)</f>
        <v>2.1186998109427608</v>
      </c>
      <c r="T22" s="6">
        <f>STDEV(T8:T17)</f>
        <v>2.1186998109427604</v>
      </c>
      <c r="U22" s="1">
        <f>STDEV(U8:U17)</f>
        <v>0</v>
      </c>
      <c r="V22" s="4">
        <f>STDEV(V8:V17)</f>
        <v>0</v>
      </c>
      <c r="W22" s="5">
        <f>STDEV(W8:W17)</f>
        <v>3.6530048514126623</v>
      </c>
      <c r="X22" s="6">
        <f>STDEV(X8:X17)</f>
        <v>3.6530048514126623</v>
      </c>
      <c r="Y22" s="1">
        <f>STDEV(Y8:Y17)</f>
        <v>0</v>
      </c>
      <c r="Z22" s="4">
        <f>STDEV(Z8:Z17)</f>
        <v>2.2827858224351907</v>
      </c>
      <c r="AA22" s="5">
        <f>STDEV(AA8:AA17)</f>
        <v>1.567021236472421</v>
      </c>
      <c r="AB22" s="6">
        <f>STDEV(AB8:AB17)</f>
        <v>3.3399933466334262</v>
      </c>
      <c r="AC22" s="1">
        <f>STDEV(AC8:AC17)</f>
        <v>0</v>
      </c>
      <c r="AD22" s="4">
        <f>STDEV(AD8:AD17)</f>
        <v>1.35400640077266</v>
      </c>
      <c r="AE22" s="5">
        <f>STDEV(AE8:AE17)</f>
        <v>0.87559503577091302</v>
      </c>
      <c r="AF22" s="6">
        <f>STDEV(AF8:AF17)</f>
        <v>1.6465452046971294</v>
      </c>
      <c r="AG22" s="1">
        <f>STDEV(AG8:AG17)</f>
        <v>0</v>
      </c>
      <c r="AH22" s="4">
        <f>STDEV(AH8:AH17)</f>
        <v>4.6439925351648297</v>
      </c>
      <c r="AI22" s="5">
        <f>STDEV(AI8:AI17)</f>
        <v>10.469001862641921</v>
      </c>
      <c r="AJ22" s="6">
        <f>STDEV(AJ8:AJ17)</f>
        <v>10.482260146446365</v>
      </c>
      <c r="AK22" s="1">
        <f>STDEV(AK8:AK17)</f>
        <v>1.8856180831641267</v>
      </c>
      <c r="AL22" s="7">
        <f>STDEV(AL8:AL17)</f>
        <v>0.48304589153964794</v>
      </c>
      <c r="AM22" s="12">
        <f>STDEV(AM8:AM17)</f>
        <v>1.8856180831641267</v>
      </c>
      <c r="AN22" s="9">
        <f>STDEV(AN8:AN17)</f>
        <v>4.6439925351648297</v>
      </c>
      <c r="AO22" s="10">
        <f>STDEV(AO8:AO17)</f>
        <v>8.9000624217536313</v>
      </c>
      <c r="AP22" s="11">
        <f>STDEV(AP8:AP17)</f>
        <v>8.7407093533648634</v>
      </c>
      <c r="AQ22">
        <f>STDEV(AQ8:AQ17)</f>
        <v>1.8856180831641267</v>
      </c>
    </row>
    <row r="23" ht="14.25">
      <c r="A23" s="1" t="s">
        <v>20</v>
      </c>
      <c r="B23" s="14">
        <f>(B19/$E$19*100)%</f>
        <v>0.28749999999999998</v>
      </c>
      <c r="C23" s="15">
        <f>(C19/$E$19*100)%</f>
        <v>0.29270833333333335</v>
      </c>
      <c r="D23" s="16">
        <f>(D19/$E$19*100)%</f>
        <v>0.41979166666666662</v>
      </c>
      <c r="E23" s="17">
        <f>(E19/$E$19*100)%</f>
        <v>1</v>
      </c>
      <c r="F23" s="14">
        <f>(F19/$I$19*100)%</f>
        <v>0.35399999999999998</v>
      </c>
      <c r="G23" s="15">
        <f>(G19/$I$19*100)%</f>
        <v>0.23100000000000001</v>
      </c>
      <c r="H23" s="16">
        <f>(H19/$I$19*100)%</f>
        <v>0.41499999999999998</v>
      </c>
      <c r="I23" s="17">
        <f>(I19/$I$19*100)%</f>
        <v>1</v>
      </c>
      <c r="J23" s="14">
        <f>(J19/$M$19*100)%</f>
        <v>0.435</v>
      </c>
      <c r="K23" s="15">
        <f>(K19/$M$19*100)%</f>
        <v>0.12300000000000001</v>
      </c>
      <c r="L23" s="16">
        <f>(L19/$M$19*100)%</f>
        <v>0.442</v>
      </c>
      <c r="M23" s="17">
        <f>(M19/$M$19*100)%</f>
        <v>1</v>
      </c>
      <c r="N23" s="14">
        <f>(N19/$Q$19*100)%</f>
        <v>0.40600000000000003</v>
      </c>
      <c r="O23" s="15">
        <f>(O19/$Q$19*100)%</f>
        <v>0.17399999999999999</v>
      </c>
      <c r="P23" s="16">
        <f>(P19/$Q$19*100)%</f>
        <v>0.41999999999999998</v>
      </c>
      <c r="Q23" s="17">
        <f>(Q19/$Q$19*100)%</f>
        <v>1</v>
      </c>
      <c r="R23" s="14">
        <f>(R19/$U$19*100)%</f>
        <v>0</v>
      </c>
      <c r="S23" s="15">
        <f>(S19/$U$19*100)%</f>
        <v>0.14468085106382977</v>
      </c>
      <c r="T23" s="16">
        <f>(T19/$U$19*100)%</f>
        <v>0.85531914893617023</v>
      </c>
      <c r="U23" s="17">
        <f>(U19/$U$19*100)%</f>
        <v>1</v>
      </c>
      <c r="V23" s="14">
        <f>(V19/$Y$19*100)%</f>
        <v>0</v>
      </c>
      <c r="W23" s="15">
        <f>(W19/$Y$19*100)%</f>
        <v>0.36700000000000005</v>
      </c>
      <c r="X23" s="16">
        <f>(X19/$Y$19*100)%</f>
        <v>0.63300000000000001</v>
      </c>
      <c r="Y23" s="17">
        <f>(Y19/$Y$19*100)%</f>
        <v>1</v>
      </c>
      <c r="Z23" s="14">
        <f>(Z19/$AC$19*100)%</f>
        <v>0.43099999999999999</v>
      </c>
      <c r="AA23" s="15">
        <f>(AA19/$AC$19*100)%</f>
        <v>0.12300000000000001</v>
      </c>
      <c r="AB23" s="16">
        <f>(AB19/$AC$19*100)%</f>
        <v>0.44600000000000001</v>
      </c>
      <c r="AC23" s="17">
        <f>(AC19/$AC$19*100)%</f>
        <v>1</v>
      </c>
      <c r="AD23" s="14">
        <f>(AD19/$AG$19*100)%</f>
        <v>0.31818181818181818</v>
      </c>
      <c r="AE23" s="15">
        <f>(AE19/$AG$19*100)%</f>
        <v>0.070909090909090908</v>
      </c>
      <c r="AF23" s="16">
        <f>(AF19/$AG$19*100)%</f>
        <v>0.61090909090909096</v>
      </c>
      <c r="AG23" s="17">
        <f>(AG19/$AG$19*100)%</f>
        <v>1</v>
      </c>
      <c r="AH23" s="14">
        <f>(AH19/$AK$19*100)%</f>
        <v>0.27879194630872484</v>
      </c>
      <c r="AI23" s="15">
        <f>(AI19/$AK$19*100)%</f>
        <v>0.1978523489932886</v>
      </c>
      <c r="AJ23" s="16">
        <f>(AJ19/$AK$19*100)%</f>
        <v>0.52335570469798653</v>
      </c>
      <c r="AK23" s="17">
        <f>(AK19/$AK$19*100)%</f>
        <v>1</v>
      </c>
      <c r="AL23" s="18">
        <f>(AL19/$AK$19*100)%</f>
        <v>0.00040268456375838925</v>
      </c>
      <c r="AM23" s="19">
        <f>(AM19/8000*100)%</f>
        <v>0.068750000000000006</v>
      </c>
      <c r="AN23" s="20">
        <f>(AN19/$AQ$19*100)%</f>
        <v>0.3769509981851179</v>
      </c>
      <c r="AO23" s="21">
        <f>(AO19/$AQ$19*100)%</f>
        <v>0.1762250453720508</v>
      </c>
      <c r="AP23" s="22">
        <f>(AP19/$AQ$19*100)%</f>
        <v>0.44682395644283124</v>
      </c>
      <c r="AQ23" s="23">
        <f>(AQ19/$AQ$19*100)%</f>
        <v>1</v>
      </c>
    </row>
    <row r="24" ht="14.25">
      <c r="A24" s="1"/>
      <c r="B24"/>
      <c r="C24"/>
      <c r="D24" s="3"/>
      <c r="E24"/>
      <c r="F24" s="1"/>
      <c r="G24" s="1"/>
      <c r="H24" s="1"/>
      <c r="I24" s="1"/>
    </row>
    <row r="25" ht="14.25">
      <c r="A25" s="1" t="s">
        <v>21</v>
      </c>
      <c r="B25" t="s">
        <v>17</v>
      </c>
      <c r="C25" t="s">
        <v>18</v>
      </c>
      <c r="D25" t="s">
        <v>22</v>
      </c>
      <c r="E25" t="s">
        <v>23</v>
      </c>
    </row>
    <row r="26" ht="14.25">
      <c r="A26" s="4" t="s">
        <v>10</v>
      </c>
      <c r="B26" s="4">
        <f>AVERAGE(B19,F19,J19,N19,R19,V19,Z19,AD19)</f>
        <v>259.625</v>
      </c>
      <c r="C26" s="4">
        <f>MEDIAN(B$19,F$19,J$19,N$19,R$19,V$19,Z$19,AD$19,AH$19)</f>
        <v>354</v>
      </c>
      <c r="D26" s="4">
        <f>STDEV(B23,F23,J23,N23,R23,V23,Z23,AD23)*100</f>
        <v>17.987434194104761</v>
      </c>
      <c r="E26" s="4">
        <f>STDEV(B23,F23,J23,N23,Z23,AD23,AH23)*100</f>
        <v>6.6338518409698342</v>
      </c>
      <c r="F26" s="1"/>
    </row>
    <row r="27" ht="14.25">
      <c r="A27" s="5" t="s">
        <v>11</v>
      </c>
      <c r="B27" s="5">
        <f>AVERAGE(C19,G19,K19,O19,S19,W19,AA19,AE19)</f>
        <v>184.25</v>
      </c>
      <c r="C27" s="5">
        <f>MEDIAN($C$19,$G$19,$K$19,$O$19,$S$19,$W$19,$AA$19,$AE$19,$AI$19)</f>
        <v>174</v>
      </c>
      <c r="D27" s="5">
        <f>STDEV(C23,G23,K23,O23,S23,W23,AA23,AE23)*100</f>
        <v>9.9300779086664566</v>
      </c>
      <c r="E27" s="5">
        <f>STDEV(C23,G23,K23,AA23,AE23)*100</f>
        <v>9.0826395926979746</v>
      </c>
    </row>
    <row r="28" ht="14.25">
      <c r="A28" s="6" t="s">
        <v>12</v>
      </c>
      <c r="B28" s="6">
        <f>AVERAGE(D19,H19,L19,P19,T19,X19,AB19,AF19)</f>
        <v>487.375</v>
      </c>
      <c r="C28" s="6">
        <f>MEDIAN($D$19,$H$19,$L$19,$P$19,$T$19,$X$19,$AB$19,$AF$19,$AJ$19)</f>
        <v>442</v>
      </c>
      <c r="D28" s="6">
        <f>STDEV(D23,H23,L23,P23,T23,X23,AB23,AF23)*100</f>
        <v>15.823048125603323</v>
      </c>
      <c r="E28" s="6">
        <f>STDEV(D23,H23,L23,P23,AB23,AF23)*100</f>
        <v>7.553628317473156</v>
      </c>
      <c r="J28" s="1"/>
    </row>
    <row r="29" ht="14.25">
      <c r="A29" s="1"/>
      <c r="B29" s="1"/>
      <c r="C29" s="1"/>
      <c r="D29" s="1"/>
    </row>
    <row r="31" ht="14.25">
      <c r="L31" s="1"/>
    </row>
    <row r="32" ht="14.25">
      <c r="B32" s="1" t="s">
        <v>24</v>
      </c>
      <c r="L32" s="1"/>
    </row>
    <row r="33" ht="14.25">
      <c r="A33" s="1"/>
      <c r="B33" s="4" t="s">
        <v>10</v>
      </c>
      <c r="C33" s="4" t="s">
        <v>25</v>
      </c>
      <c r="D33" s="4"/>
      <c r="E33" s="4"/>
      <c r="F33" s="1"/>
      <c r="G33" s="1"/>
      <c r="L33" s="1"/>
    </row>
    <row r="34" ht="14.25">
      <c r="B34" s="5" t="s">
        <v>11</v>
      </c>
      <c r="C34" s="5" t="s">
        <v>26</v>
      </c>
      <c r="D34" s="5"/>
      <c r="E34" s="5"/>
      <c r="L34" s="1"/>
    </row>
    <row r="35" ht="14.25">
      <c r="B35" s="6" t="s">
        <v>12</v>
      </c>
      <c r="C35" s="6" t="s">
        <v>27</v>
      </c>
      <c r="D35" s="6"/>
      <c r="E35" s="6"/>
      <c r="L35" s="1"/>
    </row>
    <row r="36" ht="14.25">
      <c r="B36" s="1" t="s">
        <v>13</v>
      </c>
      <c r="C36" s="1" t="s">
        <v>28</v>
      </c>
      <c r="D36" s="1"/>
      <c r="E36" s="1"/>
      <c r="L36" s="1"/>
    </row>
    <row r="37" ht="14.25">
      <c r="B37" s="7" t="s">
        <v>14</v>
      </c>
      <c r="C37" s="7" t="s">
        <v>29</v>
      </c>
      <c r="D37" s="7"/>
      <c r="E37" s="7"/>
      <c r="L37" s="1"/>
    </row>
    <row r="38" ht="14.25">
      <c r="B38" s="12" t="s">
        <v>15</v>
      </c>
      <c r="C38" s="12" t="s">
        <v>30</v>
      </c>
      <c r="D38" s="12"/>
      <c r="E38" s="12"/>
      <c r="L38" s="1"/>
    </row>
    <row r="39" ht="14.25">
      <c r="B39" s="1" t="s">
        <v>31</v>
      </c>
      <c r="C39" s="1" t="s">
        <v>32</v>
      </c>
      <c r="L39" s="1"/>
    </row>
    <row r="40" ht="14.25">
      <c r="L40" s="1"/>
    </row>
    <row r="41" ht="14.25">
      <c r="L41" s="1"/>
    </row>
    <row r="42" ht="14.25">
      <c r="L42" s="1"/>
    </row>
    <row r="43" ht="14.25">
      <c r="L43" s="1"/>
    </row>
    <row r="44" ht="14.25">
      <c r="L44" s="1"/>
    </row>
    <row r="45" ht="14.25">
      <c r="L45" s="1"/>
    </row>
    <row r="46" ht="14.25">
      <c r="L46" s="1"/>
    </row>
    <row r="47" ht="14.25">
      <c r="L47" s="1"/>
    </row>
    <row r="48" ht="14.25">
      <c r="L48" s="1"/>
    </row>
    <row r="49" ht="14.25">
      <c r="L49" s="1"/>
    </row>
    <row r="50" ht="14.25">
      <c r="L50" s="1"/>
    </row>
    <row r="51" ht="14.25">
      <c r="L51" s="1"/>
    </row>
    <row r="52" ht="14.25">
      <c r="L52" s="1"/>
    </row>
    <row r="53" ht="14.25">
      <c r="L53" s="1"/>
    </row>
    <row r="54" ht="14.25">
      <c r="L54" s="1"/>
    </row>
    <row r="55" ht="14.25">
      <c r="L55" s="1"/>
    </row>
    <row r="56" ht="14.25">
      <c r="L56" s="1"/>
    </row>
    <row r="57" ht="14.25">
      <c r="L57" s="1"/>
    </row>
    <row r="58" ht="14.25">
      <c r="L58" s="1"/>
    </row>
    <row r="59" ht="14.25">
      <c r="L59" s="1"/>
    </row>
    <row r="60" ht="14.25">
      <c r="L60" s="1"/>
    </row>
    <row r="61" ht="14.25">
      <c r="L61" s="1"/>
    </row>
    <row r="62" ht="14.25">
      <c r="L62" s="1"/>
    </row>
    <row r="63" ht="14.25">
      <c r="L63" s="1"/>
    </row>
    <row r="64" ht="14.25">
      <c r="L64" s="1"/>
    </row>
    <row r="65" ht="14.25">
      <c r="L65" s="1"/>
    </row>
    <row r="66" ht="14.25">
      <c r="L66" s="1"/>
    </row>
    <row r="67" ht="14.25">
      <c r="L67" s="1"/>
    </row>
    <row r="68" ht="14.25">
      <c r="L68" s="1"/>
    </row>
    <row r="69" ht="14.25">
      <c r="L69" s="1"/>
    </row>
    <row r="70" ht="14.25">
      <c r="L70" s="1"/>
    </row>
    <row r="71" ht="14.25">
      <c r="L71" s="1"/>
    </row>
    <row r="72" ht="14.25">
      <c r="L72" s="1"/>
    </row>
    <row r="73" ht="14.25">
      <c r="L73" s="1"/>
    </row>
    <row r="74" ht="14.25">
      <c r="L74" s="1"/>
    </row>
    <row r="75" ht="14.25">
      <c r="L75" s="1"/>
    </row>
    <row r="76" ht="14.25">
      <c r="L76" s="1"/>
    </row>
    <row r="77" ht="14.25">
      <c r="L77" s="1"/>
    </row>
    <row r="78" ht="14.25">
      <c r="L78" s="1"/>
    </row>
    <row r="79" ht="14.25">
      <c r="L79" s="1"/>
    </row>
    <row r="80" ht="14.25">
      <c r="L80" s="1"/>
    </row>
    <row r="81" ht="14.25">
      <c r="L81" s="1"/>
    </row>
    <row r="82" ht="14.25">
      <c r="L82" s="1"/>
    </row>
    <row r="83" ht="14.25">
      <c r="L83" s="1"/>
    </row>
    <row r="84" ht="14.25">
      <c r="L84" s="1"/>
    </row>
    <row r="85" ht="14.25">
      <c r="L85" s="1"/>
    </row>
    <row r="86" ht="14.25">
      <c r="L86" s="1"/>
    </row>
    <row r="87" ht="14.25">
      <c r="L87" s="1"/>
    </row>
    <row r="88" ht="14.25">
      <c r="L88" s="1"/>
    </row>
    <row r="89" ht="14.25">
      <c r="L89" s="1"/>
    </row>
    <row r="90" ht="14.25">
      <c r="L90" s="1"/>
    </row>
    <row r="91" ht="14.25">
      <c r="L91" s="1"/>
    </row>
    <row r="92" ht="14.25">
      <c r="L92" s="1"/>
    </row>
    <row r="93" ht="14.25">
      <c r="L93" s="1"/>
    </row>
    <row r="94" ht="14.25">
      <c r="L94" s="1"/>
    </row>
    <row r="95" ht="14.25">
      <c r="L95" s="1"/>
    </row>
    <row r="96" ht="14.25">
      <c r="L96" s="1"/>
    </row>
    <row r="97" ht="14.25">
      <c r="L97" s="1"/>
    </row>
    <row r="98" ht="14.25">
      <c r="L98" s="1"/>
    </row>
    <row r="99" ht="14.25">
      <c r="L99" s="1"/>
    </row>
    <row r="100" ht="14.25">
      <c r="L100" s="1"/>
    </row>
    <row r="101" ht="14.25">
      <c r="L101" s="1"/>
    </row>
    <row r="102" ht="14.25">
      <c r="L102" s="1"/>
    </row>
    <row r="103" ht="14.25">
      <c r="L103" s="1"/>
    </row>
    <row r="104" ht="14.25">
      <c r="L104" s="1"/>
    </row>
    <row r="105" ht="14.25">
      <c r="L105" s="1"/>
    </row>
    <row r="106" ht="14.25">
      <c r="L106" s="1"/>
    </row>
    <row r="107" ht="14.25">
      <c r="L107" s="1"/>
    </row>
    <row r="108" ht="14.25">
      <c r="L108" s="1"/>
    </row>
    <row r="109" ht="14.25">
      <c r="L109" s="1"/>
    </row>
    <row r="110" ht="14.25">
      <c r="L110" s="1"/>
    </row>
    <row r="111" ht="14.25">
      <c r="L111" s="1"/>
    </row>
    <row r="112" ht="14.25">
      <c r="L112" s="1"/>
    </row>
    <row r="113" ht="14.25">
      <c r="L113" s="1"/>
    </row>
    <row r="114" ht="14.25">
      <c r="L114" s="1"/>
    </row>
    <row r="115" ht="14.25">
      <c r="L115" s="1"/>
    </row>
    <row r="116" ht="14.25">
      <c r="L116" s="1"/>
    </row>
    <row r="117" ht="14.25">
      <c r="L117" s="1"/>
    </row>
    <row r="118" ht="14.25">
      <c r="L118" s="1"/>
    </row>
    <row r="119" ht="14.25">
      <c r="L119" s="1"/>
    </row>
    <row r="120" ht="14.25">
      <c r="L120" s="1"/>
    </row>
    <row r="121" ht="14.25">
      <c r="L121" s="1"/>
    </row>
    <row r="122" ht="14.25">
      <c r="L122" s="1"/>
    </row>
    <row r="123" ht="14.25">
      <c r="L123" s="1"/>
    </row>
    <row r="124" ht="14.25">
      <c r="L124" s="1"/>
    </row>
    <row r="125" ht="14.25">
      <c r="L125" s="1"/>
    </row>
    <row r="126" ht="14.25">
      <c r="L126" s="1"/>
    </row>
    <row r="127" ht="14.25">
      <c r="L127" s="1"/>
    </row>
    <row r="128" ht="14.25">
      <c r="L128" s="1"/>
    </row>
    <row r="129" ht="14.25">
      <c r="L129" s="1"/>
    </row>
    <row r="130" ht="14.25">
      <c r="L130" s="1"/>
    </row>
  </sheetData>
  <mergeCells count="16">
    <mergeCell ref="B6:E6"/>
    <mergeCell ref="F6:I6"/>
    <mergeCell ref="J6:M6"/>
    <mergeCell ref="N6:Q6"/>
    <mergeCell ref="R6:U6"/>
    <mergeCell ref="V6:Y6"/>
    <mergeCell ref="Z6:AC6"/>
    <mergeCell ref="AD6:AG6"/>
    <mergeCell ref="AH6:AM6"/>
    <mergeCell ref="AN6:AQ6"/>
    <mergeCell ref="C33:E33"/>
    <mergeCell ref="C34:E34"/>
    <mergeCell ref="C35:E35"/>
    <mergeCell ref="C36:E36"/>
    <mergeCell ref="C37:E37"/>
    <mergeCell ref="C38:E3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2026-03-26T16:02:42Z</dcterms:modified>
</cp:coreProperties>
</file>